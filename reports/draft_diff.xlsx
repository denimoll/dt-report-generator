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/>
  <mc:AlternateContent xmlns:mc="http://schemas.openxmlformats.org/markup-compatibility/2006">
    <mc:Choice Requires="x15">
      <x15ac:absPath xmlns:x15ac="http://schemas.microsoft.com/office/spreadsheetml/2010/11/ac" url="/Users/denimoll/Files/Programming shits/dt-report-generator/reports/"/>
    </mc:Choice>
  </mc:AlternateContent>
  <xr:revisionPtr revIDLastSave="0" documentId="13_ncr:1_{B7D77274-8A36-944C-8324-1BCD009AC0CA}" xr6:coauthVersionLast="43" xr6:coauthVersionMax="43" xr10:uidLastSave="{00000000-0000-0000-0000-000000000000}"/>
  <bookViews>
    <workbookView xWindow="0" yWindow="660" windowWidth="30240" windowHeight="18980" xr2:uid="{00000000-000D-0000-FFFF-FFFF00000000}"/>
  </bookViews>
  <sheets>
    <sheet name="General information" sheetId="1" r:id="rId1"/>
    <sheet name="Vulnerable dependencies" sheetId="2" r:id="rId2"/>
    <sheet name="Added issues" sheetId="3" r:id="rId3"/>
    <sheet name="Removed issues" sheetId="5" r:id="rId4"/>
    <sheet name="Common issues" sheetId="6" r:id="rId5"/>
    <sheet name="Technical sheet for diagram" sheetId="4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" i="4" l="1"/>
  <c r="D5" i="4"/>
  <c r="D4" i="4"/>
  <c r="E6" i="4"/>
  <c r="E5" i="4"/>
  <c r="E4" i="4"/>
  <c r="E3" i="4"/>
  <c r="D3" i="4"/>
  <c r="E2" i="4"/>
  <c r="D2" i="4"/>
  <c r="C6" i="4" l="1"/>
  <c r="B6" i="4" s="1"/>
  <c r="C5" i="4"/>
  <c r="B5" i="4" s="1"/>
  <c r="C4" i="4"/>
  <c r="B4" i="4" s="1"/>
  <c r="C3" i="4"/>
  <c r="B3" i="4" s="1"/>
  <c r="C2" i="4"/>
  <c r="B2" i="4" s="1"/>
</calcChain>
</file>

<file path=xl/sharedStrings.xml><?xml version="1.0" encoding="utf-8"?>
<sst xmlns="http://schemas.openxmlformats.org/spreadsheetml/2006/main" count="51" uniqueCount="34">
  <si>
    <t>№</t>
  </si>
  <si>
    <t>Project</t>
  </si>
  <si>
    <t>Count of dependencies</t>
  </si>
  <si>
    <t>Count of vulnerabilities</t>
  </si>
  <si>
    <t>Date of SBOM import</t>
  </si>
  <si>
    <t>Date of report creation</t>
  </si>
  <si>
    <t>Dependency</t>
  </si>
  <si>
    <t>Group</t>
  </si>
  <si>
    <t>Count of vulnerable dependencies</t>
  </si>
  <si>
    <t>Last version</t>
  </si>
  <si>
    <t>Final severity</t>
  </si>
  <si>
    <t>Vulnerability</t>
  </si>
  <si>
    <t>Severity</t>
  </si>
  <si>
    <t>Component</t>
  </si>
  <si>
    <t>Report generated by dt-report-generator</t>
  </si>
  <si>
    <t>Dependencies</t>
  </si>
  <si>
    <t>Critical</t>
  </si>
  <si>
    <t>High</t>
  </si>
  <si>
    <t>Medium</t>
  </si>
  <si>
    <t>Low</t>
  </si>
  <si>
    <t>Unknown</t>
  </si>
  <si>
    <t>Priority</t>
  </si>
  <si>
    <t>Additional info</t>
  </si>
  <si>
    <t>Analysis state</t>
  </si>
  <si>
    <t>Graph level</t>
  </si>
  <si>
    <t>A</t>
  </si>
  <si>
    <t>B</t>
  </si>
  <si>
    <t>Used version (A)</t>
  </si>
  <si>
    <t>Used version (B)</t>
  </si>
  <si>
    <t>Version</t>
  </si>
  <si>
    <t>All (A)</t>
  </si>
  <si>
    <t>Direct (A)</t>
  </si>
  <si>
    <t>All (B)</t>
  </si>
  <si>
    <t>Direct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</si>
</sst>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9" xfId="1" applyFont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19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Vulnerable</a:t>
            </a:r>
            <a:r>
              <a:rPr lang="en-US" baseline="0"/>
              <a:t> d</a:t>
            </a:r>
            <a:r>
              <a:rPr lang="en-US"/>
              <a:t>ependencies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'[1]Technical sheet for diagram'!$B$1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'[1]Technical sheet for diagram'!$A$2:$A$6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Unknown</c:v>
                </c:pt>
              </c:strCache>
            </c:strRef>
          </c:cat>
          <c:val>
            <c:numRef>
              <c:f>'[1]Technical sheet for diagram'!$B$2:$B$6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B-5C45-9A15-DBFF31E9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399056"/>
        <c:axId val="100683152"/>
      </c:barChart>
      <c:lineChart>
        <c:grouping val="standard"/>
        <c:varyColors val="0"/>
        <c:ser>
          <c:idx val="1"/>
          <c:order val="1"/>
          <c:tx>
            <c:strRef>
              <c:f>'[1]Technical sheet for diagram'!$C$1</c:f>
              <c:strCache>
                <c:ptCount val="1"/>
                <c:pt idx="0">
                  <c:v>Direct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'[1]Technical sheet for diagram'!$A$2:$A$6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Unknown</c:v>
                </c:pt>
              </c:strCache>
            </c:strRef>
          </c:cat>
          <c:val>
            <c:numRef>
              <c:f>'[1]Technical sheet for diagram'!$C$2:$C$6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B-5C45-9A15-DBFF31E9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99056"/>
        <c:axId val="100683152"/>
      </c:lineChart>
      <c:catAx>
        <c:axId val="27539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683152"/>
        <c:crosses val="autoZero"/>
        <c:auto val="1"/>
        <c:lblAlgn val="ctr"/>
        <c:lblOffset val="100"/>
        <c:noMultiLvlLbl val="0"/>
      </c:catAx>
      <c:valAx>
        <c:axId val="1006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53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1</xdr:row>
      <xdr:rowOff>0</xdr:rowOff>
    </xdr:from>
    <xdr:to>
      <xdr:col>16</xdr:col>
      <xdr:colOff>660400</xdr:colOff>
      <xdr:row>21</xdr:row>
      <xdr:rowOff>154940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CEB1DA-9C4A-654D-88F7-1BE332896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Vulnerable dependencies"/>
      <sheetName val="All issues"/>
      <sheetName val="Technical sheet for diagram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All</v>
          </cell>
          <cell r="C1" t="str">
            <v>Direct</v>
          </cell>
        </row>
        <row r="2">
          <cell r="A2" t="str">
            <v>Critical</v>
          </cell>
          <cell r="B2">
            <v>0</v>
          </cell>
          <cell r="C2">
            <v>0</v>
          </cell>
        </row>
        <row r="3">
          <cell r="A3" t="str">
            <v>High</v>
          </cell>
          <cell r="B3">
            <v>0</v>
          </cell>
          <cell r="C3">
            <v>0</v>
          </cell>
        </row>
        <row r="4">
          <cell r="A4" t="str">
            <v>Medium</v>
          </cell>
          <cell r="B4">
            <v>0</v>
          </cell>
          <cell r="C4">
            <v>0</v>
          </cell>
        </row>
        <row r="5">
          <cell r="A5" t="str">
            <v>Low</v>
          </cell>
          <cell r="B5">
            <v>0</v>
          </cell>
          <cell r="C5">
            <v>0</v>
          </cell>
        </row>
        <row r="6">
          <cell r="A6" t="str">
            <v>Unknown</v>
          </cell>
          <cell r="B6">
            <v>0</v>
          </cell>
          <cell r="C6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H9999" totalsRowShown="0" headerRowDxfId="18">
  <autoFilter ref="A1:H9999" xr:uid="{00000000-0009-0000-0100-000001000000}"/>
  <tableColumns count="8">
    <tableColumn id="1" xr3:uid="{00000000-0010-0000-0000-000001000000}" name="№" dataDxfId="17"/>
    <tableColumn id="2" xr3:uid="{00000000-0010-0000-0000-000002000000}" name="Dependency"/>
    <tableColumn id="8" xr3:uid="{CD4D8010-B7BF-EF41-9241-B2A7C8B5AAAE}" name="Group"/>
    <tableColumn id="3" xr3:uid="{00000000-0010-0000-0000-000003000000}" name="Used version (A)" dataDxfId="16"/>
    <tableColumn id="4" xr3:uid="{00000000-0010-0000-0000-000004000000}" name="Used version (B)"/>
    <tableColumn id="6" xr3:uid="{285D99C5-8A98-2543-AEE5-A809E9291686}" name="Final severity"/>
    <tableColumn id="5" xr3:uid="{00000000-0010-0000-0000-000005000000}" name="Last version" dataDxfId="15"/>
    <tableColumn id="7" xr3:uid="{92289575-090A-FB4E-9832-F7FD3CB66542}" name="Graph level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48631-99CD-E64B-B79C-4310C8831AA6}" name="Таблица13" displayName="Таблица13" ref="A1:H9999" totalsRowShown="0" headerRowDxfId="14">
  <autoFilter ref="A1:H9999" xr:uid="{AA918DB4-2484-7040-BD07-7776E141CE3F}"/>
  <tableColumns count="8">
    <tableColumn id="1" xr3:uid="{1C7933C9-3C85-7448-9754-6292512DCAFC}" name="№" dataDxfId="13"/>
    <tableColumn id="2" xr3:uid="{C83DC10C-1585-F04B-ADC5-44A9BA98F3D9}" name="Vulnerability"/>
    <tableColumn id="3" xr3:uid="{FFC137A4-FB67-3D45-88EB-DD55BF6795F0}" name="Severity" dataDxfId="12"/>
    <tableColumn id="5" xr3:uid="{71E37B58-9C32-4122-AAA1-DCD4E3B3E000}" name="Priority" dataDxfId="11"/>
    <tableColumn id="4" xr3:uid="{1A434919-AB14-964F-9CA9-DD4331C139F6}" name="Component"/>
    <tableColumn id="6" xr3:uid="{E8635739-AAAF-CA48-B42D-D80511409E7A}" name="Version"/>
    <tableColumn id="8" xr3:uid="{EF7CC9FE-A595-4D33-8BA6-E3C0A2BB4CF5}" name="Additional info" dataDxfId="10"/>
    <tableColumn id="7" xr3:uid="{A7109B19-9AED-F943-8363-161AFA0558B1}" name="Analysis state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1ED7F9-B135-8048-B7A3-082DD65DE095}" name="Таблица134" displayName="Таблица134" ref="A1:H9999" totalsRowShown="0" headerRowDxfId="9">
  <autoFilter ref="A1:H9999" xr:uid="{274EC86F-D50A-A842-909C-89923CE62A14}"/>
  <tableColumns count="8">
    <tableColumn id="1" xr3:uid="{4E818301-5C3B-6845-811D-23FB3A8216B7}" name="№" dataDxfId="8"/>
    <tableColumn id="2" xr3:uid="{7B5C278A-9846-7345-AE63-60613FB4355F}" name="Vulnerability"/>
    <tableColumn id="3" xr3:uid="{1E49701C-9B72-C048-B5EE-A09904F36E9E}" name="Severity" dataDxfId="7"/>
    <tableColumn id="5" xr3:uid="{AE83EF8F-E2A4-894A-88E6-4CACA3B59FB7}" name="Priority" dataDxfId="6"/>
    <tableColumn id="4" xr3:uid="{9ACDEFA5-C187-6C44-8E2E-8AD1EBB176CA}" name="Component"/>
    <tableColumn id="6" xr3:uid="{AE8B1058-062F-2049-AA95-8C0F9208D4A3}" name="Version"/>
    <tableColumn id="8" xr3:uid="{91C60B15-FAA4-154C-8BFC-1DEA5A74EA50}" name="Additional info" dataDxfId="5"/>
    <tableColumn id="7" xr3:uid="{E4E04A2A-4A43-594D-BF77-8FA5F7243A84}" name="Analysis stat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4A05D1-BC3B-9745-9BB7-B581C4BA3111}" name="Таблица1345" displayName="Таблица1345" ref="A1:H9999" totalsRowShown="0" headerRowDxfId="4">
  <autoFilter ref="A1:H9999" xr:uid="{3D65B640-111E-2B4E-AEE0-33324CC44E92}"/>
  <tableColumns count="8">
    <tableColumn id="1" xr3:uid="{BEF3C7C5-4525-6C41-9ECD-BF562014764F}" name="№" dataDxfId="3"/>
    <tableColumn id="2" xr3:uid="{505CA645-ED54-8449-B3F2-592A74C4B265}" name="Vulnerability"/>
    <tableColumn id="3" xr3:uid="{5D5DF74C-7B8F-7843-A8BD-E078BF292658}" name="Severity" dataDxfId="2"/>
    <tableColumn id="5" xr3:uid="{365DB20A-7A04-BA40-9A7F-6E468AB2AA38}" name="Priority" dataDxfId="1"/>
    <tableColumn id="4" xr3:uid="{23BC3D5A-9C3D-5348-86F0-F36179146550}" name="Component"/>
    <tableColumn id="6" xr3:uid="{8B952FD5-FAF5-434C-944B-368E4F19CDA7}" name="Version"/>
    <tableColumn id="8" xr3:uid="{0A1BDC21-53BA-3B41-8997-A43731375B3B}" name="Additional info" dataDxfId="0"/>
    <tableColumn id="7" xr3:uid="{74B0E1BB-B483-7B4A-842F-570E82F7F203}" name="Analysis stat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enimoll/dt-report-generato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/>
  </sheetViews>
  <sheetFormatPr baseColWidth="10" defaultColWidth="8.83203125" defaultRowHeight="15" x14ac:dyDescent="0.2"/>
  <cols>
    <col min="2" max="2" width="30.6640625" bestFit="1" customWidth="1"/>
    <col min="4" max="5" width="44.5" customWidth="1"/>
  </cols>
  <sheetData>
    <row r="1" spans="2:5" ht="16" thickBot="1" x14ac:dyDescent="0.25"/>
    <row r="2" spans="2:5" ht="16" thickBot="1" x14ac:dyDescent="0.25">
      <c r="D2" s="15" t="s">
        <v>25</v>
      </c>
      <c r="E2" s="16" t="s">
        <v>26</v>
      </c>
    </row>
    <row r="3" spans="2:5" x14ac:dyDescent="0.2">
      <c r="B3" s="8" t="s">
        <v>1</v>
      </c>
      <c r="C3" s="3"/>
      <c r="D3" s="4"/>
      <c r="E3" s="6"/>
    </row>
    <row r="4" spans="2:5" x14ac:dyDescent="0.2">
      <c r="B4" s="9" t="s">
        <v>2</v>
      </c>
      <c r="C4" s="4"/>
      <c r="D4" s="4"/>
      <c r="E4" s="6"/>
    </row>
    <row r="5" spans="2:5" x14ac:dyDescent="0.2">
      <c r="B5" s="9" t="s">
        <v>3</v>
      </c>
      <c r="C5" s="4"/>
      <c r="D5" s="4"/>
      <c r="E5" s="6"/>
    </row>
    <row r="6" spans="2:5" x14ac:dyDescent="0.2">
      <c r="B6" s="9" t="s">
        <v>8</v>
      </c>
      <c r="C6" s="4"/>
      <c r="D6" s="4"/>
      <c r="E6" s="6"/>
    </row>
    <row r="7" spans="2:5" x14ac:dyDescent="0.2">
      <c r="B7" s="9" t="s">
        <v>4</v>
      </c>
      <c r="C7" s="4"/>
      <c r="D7" s="4"/>
      <c r="E7" s="6"/>
    </row>
    <row r="8" spans="2:5" ht="16" thickBot="1" x14ac:dyDescent="0.25">
      <c r="B8" s="10" t="s">
        <v>5</v>
      </c>
      <c r="C8" s="5"/>
      <c r="D8" s="5"/>
      <c r="E8" s="7"/>
    </row>
    <row r="10" spans="2:5" x14ac:dyDescent="0.2">
      <c r="B10" s="17" t="s">
        <v>14</v>
      </c>
      <c r="C10" s="17"/>
      <c r="D10" s="17"/>
      <c r="E10" s="17"/>
    </row>
  </sheetData>
  <mergeCells count="1">
    <mergeCell ref="B10:E10"/>
  </mergeCells>
  <hyperlinks>
    <hyperlink ref="B10:E10" r:id="rId1" display="Report generated by dt-report-generator" xr:uid="{CCFE3F07-D623-804F-82CB-1792C41C87B9}"/>
  </hyperlinks>
  <pageMargins left="0.75" right="0.75" top="1" bottom="1" header="0.5" footer="0.5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3" width="25.6640625" customWidth="1"/>
    <col min="4" max="4" width="25.6640625" style="2" customWidth="1"/>
    <col min="5" max="6" width="25.6640625" customWidth="1"/>
    <col min="7" max="7" width="25.6640625" style="2" customWidth="1"/>
    <col min="8" max="8" width="20" customWidth="1"/>
  </cols>
  <sheetData>
    <row r="1" spans="1:8" x14ac:dyDescent="0.2">
      <c r="A1" s="1" t="s">
        <v>0</v>
      </c>
      <c r="B1" s="1" t="s">
        <v>6</v>
      </c>
      <c r="C1" s="1" t="s">
        <v>7</v>
      </c>
      <c r="D1" s="1" t="s">
        <v>27</v>
      </c>
      <c r="E1" s="14" t="s">
        <v>28</v>
      </c>
      <c r="F1" s="1" t="s">
        <v>10</v>
      </c>
      <c r="G1" s="1" t="s">
        <v>9</v>
      </c>
      <c r="H1" s="14" t="s">
        <v>24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17E8-1089-EF44-AD2C-86D494CB5712}">
  <dimension ref="A1:H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2" width="25.6640625" customWidth="1"/>
    <col min="3" max="4" width="25.6640625" style="2" customWidth="1"/>
    <col min="5" max="6" width="25.6640625" customWidth="1"/>
    <col min="7" max="7" width="50.83203125" style="13" customWidth="1"/>
    <col min="8" max="8" width="20" customWidth="1"/>
  </cols>
  <sheetData>
    <row r="1" spans="1:8" ht="16" x14ac:dyDescent="0.2">
      <c r="A1" s="1" t="s">
        <v>0</v>
      </c>
      <c r="B1" s="1" t="s">
        <v>11</v>
      </c>
      <c r="C1" s="1" t="s">
        <v>12</v>
      </c>
      <c r="D1" s="1" t="s">
        <v>21</v>
      </c>
      <c r="E1" s="1" t="s">
        <v>13</v>
      </c>
      <c r="F1" s="1" t="s">
        <v>29</v>
      </c>
      <c r="G1" s="12" t="s">
        <v>22</v>
      </c>
      <c r="H1" s="14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D122-6263-2F4F-B9E1-46B1685DE086}">
  <dimension ref="A1:H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2" width="25.6640625" customWidth="1"/>
    <col min="3" max="4" width="25.6640625" style="2" customWidth="1"/>
    <col min="5" max="6" width="25.6640625" customWidth="1"/>
    <col min="7" max="7" width="50.83203125" style="13" customWidth="1"/>
    <col min="8" max="8" width="20" customWidth="1"/>
  </cols>
  <sheetData>
    <row r="1" spans="1:8" ht="16" x14ac:dyDescent="0.2">
      <c r="A1" s="1" t="s">
        <v>0</v>
      </c>
      <c r="B1" s="1" t="s">
        <v>11</v>
      </c>
      <c r="C1" s="1" t="s">
        <v>12</v>
      </c>
      <c r="D1" s="1" t="s">
        <v>21</v>
      </c>
      <c r="E1" s="1" t="s">
        <v>13</v>
      </c>
      <c r="F1" s="1" t="s">
        <v>29</v>
      </c>
      <c r="G1" s="12" t="s">
        <v>22</v>
      </c>
      <c r="H1" s="14" t="s">
        <v>23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162A-0DDD-1A4C-9B00-2B10EEBCE5FA}">
  <dimension ref="A1:H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2" width="25.6640625" customWidth="1"/>
    <col min="3" max="4" width="25.6640625" style="2" customWidth="1"/>
    <col min="5" max="6" width="25.6640625" customWidth="1"/>
    <col min="7" max="7" width="50.83203125" style="13" customWidth="1"/>
    <col min="8" max="8" width="20" customWidth="1"/>
  </cols>
  <sheetData>
    <row r="1" spans="1:8" ht="16" x14ac:dyDescent="0.2">
      <c r="A1" s="1" t="s">
        <v>0</v>
      </c>
      <c r="B1" s="1" t="s">
        <v>11</v>
      </c>
      <c r="C1" s="1" t="s">
        <v>12</v>
      </c>
      <c r="D1" s="1" t="s">
        <v>21</v>
      </c>
      <c r="E1" s="1" t="s">
        <v>13</v>
      </c>
      <c r="F1" s="1" t="s">
        <v>29</v>
      </c>
      <c r="G1" s="12" t="s">
        <v>22</v>
      </c>
      <c r="H1" s="14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CDA6-20B3-49DC-BEAE-089A40828C61}">
  <dimension ref="A1:E6"/>
  <sheetViews>
    <sheetView workbookViewId="0"/>
  </sheetViews>
  <sheetFormatPr baseColWidth="10" defaultColWidth="8.83203125" defaultRowHeight="15" x14ac:dyDescent="0.2"/>
  <cols>
    <col min="1" max="5" width="25.83203125" customWidth="1"/>
  </cols>
  <sheetData>
    <row r="1" spans="1:5" x14ac:dyDescent="0.2">
      <c r="A1" s="11" t="s">
        <v>15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">
      <c r="A2" t="s">
        <v>16</v>
      </c>
      <c r="B2" s="2">
        <f>COUNTIF('Vulnerable dependencies'!F:F,"critical")+C2</f>
        <v>0</v>
      </c>
      <c r="C2" s="2">
        <f>COUNTIF('Vulnerable dependencies'!F:F,"critical in direct dependency")</f>
        <v>0</v>
      </c>
      <c r="D2" s="2">
        <f>COUNTIF('Vulnerable dependencies'!F:F,"critical")+E2</f>
        <v>0</v>
      </c>
      <c r="E2" s="2">
        <f>COUNTIF('Vulnerable dependencies'!F:F,"critical in direct dependency")</f>
        <v>0</v>
      </c>
    </row>
    <row r="3" spans="1:5" x14ac:dyDescent="0.2">
      <c r="A3" t="s">
        <v>17</v>
      </c>
      <c r="B3" s="2">
        <f>COUNTIF('Vulnerable dependencies'!F:F,"high")+C3</f>
        <v>0</v>
      </c>
      <c r="C3" s="2">
        <f>COUNTIF('Vulnerable dependencies'!F:F,"high in direct dependency")</f>
        <v>0</v>
      </c>
      <c r="D3" s="2">
        <f>COUNTIF('Vulnerable dependencies'!F:F,"high")+E3</f>
        <v>0</v>
      </c>
      <c r="E3" s="2">
        <f>COUNTIF('Vulnerable dependencies'!F:F,"high in direct dependency")</f>
        <v>0</v>
      </c>
    </row>
    <row r="4" spans="1:5" x14ac:dyDescent="0.2">
      <c r="A4" t="s">
        <v>18</v>
      </c>
      <c r="B4" s="2">
        <f>COUNTIF('Vulnerable dependencies'!F:F,"medium")+C4</f>
        <v>0</v>
      </c>
      <c r="C4" s="2">
        <f>COUNTIF('Vulnerable dependencies'!F:F,"medium in direct dependency")</f>
        <v>0</v>
      </c>
      <c r="D4" s="2">
        <f>COUNTIF('Vulnerable dependencies'!F:F,"medium")+E4</f>
        <v>0</v>
      </c>
      <c r="E4" s="2">
        <f>COUNTIF('Vulnerable dependencies'!F:F,"medium in direct dependency")</f>
        <v>0</v>
      </c>
    </row>
    <row r="5" spans="1:5" x14ac:dyDescent="0.2">
      <c r="A5" t="s">
        <v>19</v>
      </c>
      <c r="B5" s="2">
        <f>COUNTIF('Vulnerable dependencies'!F:F,"low")+C5</f>
        <v>0</v>
      </c>
      <c r="C5" s="2">
        <f>COUNTIF('Vulnerable dependencies'!F:F,"low in direct dependency")</f>
        <v>0</v>
      </c>
      <c r="D5" s="2">
        <f>COUNTIF('Vulnerable dependencies'!F:F,"low")+E5</f>
        <v>0</v>
      </c>
      <c r="E5" s="2">
        <f>COUNTIF('Vulnerable dependencies'!F:F,"low in direct dependency")</f>
        <v>0</v>
      </c>
    </row>
    <row r="6" spans="1:5" x14ac:dyDescent="0.2">
      <c r="A6" t="s">
        <v>20</v>
      </c>
      <c r="B6" s="2">
        <f>COUNTIF('Vulnerable dependencies'!F:F,"unknown")+C6</f>
        <v>0</v>
      </c>
      <c r="C6" s="2">
        <f>COUNTIF('Vulnerable dependencies'!F:F,"unknown in direct dependency")</f>
        <v>0</v>
      </c>
      <c r="D6" s="2">
        <f>COUNTIF('Vulnerable dependencies'!F:F,"unknown")+E6</f>
        <v>0</v>
      </c>
      <c r="E6" s="2">
        <f>COUNTIF('Vulnerable dependencies'!F:F,"unknown in direct dependency")</f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General information</vt:lpstr>
      <vt:lpstr>Vulnerable dependencies</vt:lpstr>
      <vt:lpstr>Added issues</vt:lpstr>
      <vt:lpstr>Removed issues</vt:lpstr>
      <vt:lpstr>Common issues</vt:lpstr>
      <vt:lpstr>Technical sheet for diagram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2026-05-10T12:29:08Z</dcterms:modified>
  <cp:category/>
</cp:coreProperties>
</file>